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laude\KnurLogger\"/>
    </mc:Choice>
  </mc:AlternateContent>
  <xr:revisionPtr revIDLastSave="0" documentId="13_ncr:1_{374FC7F7-19BF-4827-8E60-061C4CDFAA20}" xr6:coauthVersionLast="47" xr6:coauthVersionMax="47" xr10:uidLastSave="{00000000-0000-0000-0000-000000000000}"/>
  <bookViews>
    <workbookView xWindow="-120" yWindow="-120" windowWidth="38640" windowHeight="21840" xr2:uid="{92A98008-AB08-47F0-8EE8-B470B5852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9" i="1" l="1"/>
  <c r="A58" i="1"/>
  <c r="A57" i="1"/>
  <c r="E59" i="1"/>
  <c r="D59" i="1"/>
  <c r="L59" i="1" s="1"/>
  <c r="E58" i="1"/>
  <c r="D58" i="1"/>
  <c r="L58" i="1" s="1"/>
  <c r="E57" i="1"/>
  <c r="D57" i="1"/>
  <c r="L57" i="1" s="1"/>
  <c r="K56" i="1"/>
  <c r="E56" i="1"/>
  <c r="D56" i="1"/>
  <c r="L56" i="1" s="1"/>
  <c r="U55" i="1"/>
  <c r="V55" i="1" s="1"/>
  <c r="T55" i="1"/>
  <c r="Q55" i="1"/>
  <c r="L55" i="1"/>
  <c r="E55" i="1"/>
  <c r="V48" i="1"/>
  <c r="U48" i="1"/>
  <c r="A52" i="1"/>
  <c r="A51" i="1"/>
  <c r="A50" i="1"/>
  <c r="K52" i="1"/>
  <c r="E52" i="1"/>
  <c r="D52" i="1"/>
  <c r="L52" i="1" s="1"/>
  <c r="E51" i="1"/>
  <c r="D51" i="1"/>
  <c r="L51" i="1" s="1"/>
  <c r="E50" i="1"/>
  <c r="D50" i="1"/>
  <c r="L50" i="1" s="1"/>
  <c r="K49" i="1"/>
  <c r="E49" i="1"/>
  <c r="D49" i="1"/>
  <c r="L49" i="1" s="1"/>
  <c r="L48" i="1"/>
  <c r="Q48" i="1" s="1"/>
  <c r="E48" i="1"/>
  <c r="T48" i="1" s="1"/>
  <c r="A45" i="1"/>
  <c r="A44" i="1"/>
  <c r="K46" i="1"/>
  <c r="G46" i="1"/>
  <c r="E46" i="1"/>
  <c r="D46" i="1"/>
  <c r="L46" i="1" s="1"/>
  <c r="K45" i="1"/>
  <c r="G45" i="1"/>
  <c r="E45" i="1"/>
  <c r="D45" i="1"/>
  <c r="L45" i="1" s="1"/>
  <c r="K44" i="1"/>
  <c r="G44" i="1"/>
  <c r="E44" i="1"/>
  <c r="D44" i="1"/>
  <c r="L44" i="1" s="1"/>
  <c r="K43" i="1"/>
  <c r="E43" i="1"/>
  <c r="D43" i="1"/>
  <c r="L43" i="1" s="1"/>
  <c r="L42" i="1"/>
  <c r="Q42" i="1" s="1"/>
  <c r="E42" i="1"/>
  <c r="T42" i="1" s="1"/>
  <c r="K39" i="1"/>
  <c r="G39" i="1"/>
  <c r="E39" i="1"/>
  <c r="D39" i="1"/>
  <c r="L39" i="1" s="1"/>
  <c r="K38" i="1"/>
  <c r="G38" i="1"/>
  <c r="E38" i="1"/>
  <c r="D38" i="1"/>
  <c r="L38" i="1" s="1"/>
  <c r="K37" i="1"/>
  <c r="G37" i="1"/>
  <c r="E37" i="1"/>
  <c r="D37" i="1"/>
  <c r="L37" i="1" s="1"/>
  <c r="K36" i="1"/>
  <c r="E36" i="1"/>
  <c r="D36" i="1"/>
  <c r="L35" i="1"/>
  <c r="Q35" i="1" s="1"/>
  <c r="E35" i="1"/>
  <c r="T35" i="1" s="1"/>
  <c r="L23" i="1"/>
  <c r="K33" i="1"/>
  <c r="G33" i="1"/>
  <c r="E33" i="1"/>
  <c r="D33" i="1"/>
  <c r="L33" i="1" s="1"/>
  <c r="K32" i="1"/>
  <c r="G32" i="1"/>
  <c r="E32" i="1"/>
  <c r="D32" i="1"/>
  <c r="L32" i="1" s="1"/>
  <c r="K31" i="1"/>
  <c r="G31" i="1"/>
  <c r="E31" i="1"/>
  <c r="D31" i="1"/>
  <c r="L31" i="1" s="1"/>
  <c r="K30" i="1"/>
  <c r="E30" i="1"/>
  <c r="D30" i="1"/>
  <c r="L30" i="1" s="1"/>
  <c r="L29" i="1"/>
  <c r="Q29" i="1" s="1"/>
  <c r="E29" i="1"/>
  <c r="K27" i="1"/>
  <c r="G27" i="1"/>
  <c r="E27" i="1"/>
  <c r="D27" i="1"/>
  <c r="L27" i="1" s="1"/>
  <c r="K26" i="1"/>
  <c r="G26" i="1"/>
  <c r="E26" i="1"/>
  <c r="D26" i="1"/>
  <c r="L26" i="1" s="1"/>
  <c r="L25" i="1"/>
  <c r="K25" i="1"/>
  <c r="H25" i="1"/>
  <c r="G25" i="1"/>
  <c r="E25" i="1"/>
  <c r="D25" i="1"/>
  <c r="K24" i="1"/>
  <c r="E24" i="1"/>
  <c r="D24" i="1"/>
  <c r="L24" i="1" s="1"/>
  <c r="Q23" i="1"/>
  <c r="E23" i="1"/>
  <c r="T23" i="1" s="1"/>
  <c r="G21" i="1"/>
  <c r="D21" i="1"/>
  <c r="L21" i="1" s="1"/>
  <c r="E21" i="1"/>
  <c r="K21" i="1"/>
  <c r="K20" i="1"/>
  <c r="G20" i="1"/>
  <c r="D20" i="1"/>
  <c r="L20" i="1" s="1"/>
  <c r="E20" i="1"/>
  <c r="K19" i="1"/>
  <c r="G19" i="1"/>
  <c r="E19" i="1"/>
  <c r="D19" i="1"/>
  <c r="H19" i="1" s="1"/>
  <c r="I19" i="1" s="1"/>
  <c r="K18" i="1"/>
  <c r="E18" i="1"/>
  <c r="D18" i="1"/>
  <c r="L18" i="1" s="1"/>
  <c r="L16" i="1"/>
  <c r="K16" i="1"/>
  <c r="G16" i="1"/>
  <c r="E16" i="1"/>
  <c r="D16" i="1"/>
  <c r="H16" i="1" s="1"/>
  <c r="I16" i="1" s="1"/>
  <c r="K15" i="1"/>
  <c r="E15" i="1"/>
  <c r="D15" i="1"/>
  <c r="L15" i="1" s="1"/>
  <c r="G12" i="1"/>
  <c r="E12" i="1"/>
  <c r="D12" i="1"/>
  <c r="L12" i="1" s="1"/>
  <c r="K12" i="1"/>
  <c r="K11" i="1"/>
  <c r="G11" i="1"/>
  <c r="E11" i="1"/>
  <c r="D11" i="1"/>
  <c r="L11" i="1" s="1"/>
  <c r="G10" i="1"/>
  <c r="E10" i="1"/>
  <c r="D10" i="1"/>
  <c r="K10" i="1"/>
  <c r="K9" i="1"/>
  <c r="K8" i="1"/>
  <c r="G9" i="1"/>
  <c r="E9" i="1"/>
  <c r="D9" i="1"/>
  <c r="L9" i="1" s="1"/>
  <c r="L7" i="1"/>
  <c r="Q7" i="1" s="1"/>
  <c r="E7" i="1"/>
  <c r="T7" i="1" s="1"/>
  <c r="E8" i="1"/>
  <c r="D8" i="1"/>
  <c r="L8" i="1" s="1"/>
  <c r="L1" i="1"/>
  <c r="Q1" i="1" s="1"/>
  <c r="E1" i="1"/>
  <c r="T1" i="1" s="1"/>
  <c r="D5" i="1"/>
  <c r="G5" i="1"/>
  <c r="E5" i="1"/>
  <c r="G4" i="1"/>
  <c r="E4" i="1"/>
  <c r="D4" i="1"/>
  <c r="H5" i="1" s="1"/>
  <c r="E3" i="1"/>
  <c r="D3" i="1"/>
  <c r="K58" i="1" l="1"/>
  <c r="G58" i="1"/>
  <c r="G57" i="1"/>
  <c r="H57" i="1"/>
  <c r="I57" i="1" s="1"/>
  <c r="K57" i="1"/>
  <c r="H58" i="1"/>
  <c r="H59" i="1"/>
  <c r="G52" i="1"/>
  <c r="K51" i="1"/>
  <c r="G51" i="1"/>
  <c r="G50" i="1"/>
  <c r="H50" i="1"/>
  <c r="K50" i="1"/>
  <c r="H51" i="1"/>
  <c r="I51" i="1" s="1"/>
  <c r="H52" i="1"/>
  <c r="L19" i="1"/>
  <c r="H10" i="1"/>
  <c r="L10" i="1"/>
  <c r="H20" i="1"/>
  <c r="I20" i="1" s="1"/>
  <c r="H9" i="1"/>
  <c r="I25" i="1"/>
  <c r="H21" i="1"/>
  <c r="I21" i="1" s="1"/>
  <c r="H44" i="1"/>
  <c r="I44" i="1" s="1"/>
  <c r="H45" i="1"/>
  <c r="I45" i="1" s="1"/>
  <c r="H46" i="1"/>
  <c r="I46" i="1" s="1"/>
  <c r="H37" i="1"/>
  <c r="I37" i="1" s="1"/>
  <c r="L36" i="1"/>
  <c r="H38" i="1"/>
  <c r="I38" i="1" s="1"/>
  <c r="H39" i="1"/>
  <c r="I39" i="1" s="1"/>
  <c r="T29" i="1"/>
  <c r="H31" i="1"/>
  <c r="I31" i="1" s="1"/>
  <c r="H32" i="1"/>
  <c r="I32" i="1" s="1"/>
  <c r="H33" i="1"/>
  <c r="I33" i="1" s="1"/>
  <c r="H27" i="1"/>
  <c r="I27" i="1" s="1"/>
  <c r="H26" i="1"/>
  <c r="I26" i="1" s="1"/>
  <c r="H12" i="1"/>
  <c r="I12" i="1" s="1"/>
  <c r="H11" i="1"/>
  <c r="I11" i="1" s="1"/>
  <c r="I10" i="1"/>
  <c r="I9" i="1"/>
  <c r="H4" i="1"/>
  <c r="I4" i="1" s="1"/>
  <c r="I5" i="1"/>
  <c r="I58" i="1" l="1"/>
  <c r="K59" i="1"/>
  <c r="G59" i="1"/>
  <c r="I59" i="1" s="1"/>
  <c r="I50" i="1"/>
  <c r="I52" i="1"/>
</calcChain>
</file>

<file path=xl/sharedStrings.xml><?xml version="1.0" encoding="utf-8"?>
<sst xmlns="http://schemas.openxmlformats.org/spreadsheetml/2006/main" count="61" uniqueCount="12">
  <si>
    <t>bell:</t>
  </si>
  <si>
    <t>rodU</t>
  </si>
  <si>
    <t>ballastDryAll</t>
  </si>
  <si>
    <t>ballastDry</t>
  </si>
  <si>
    <t>disp</t>
  </si>
  <si>
    <t>m_app</t>
  </si>
  <si>
    <t>mDry</t>
  </si>
  <si>
    <t>no filters</t>
  </si>
  <si>
    <t>restarted</t>
  </si>
  <si>
    <t>P1, _8.6m ID4mm</t>
  </si>
  <si>
    <t>P1, 2x1.5 w/filters</t>
  </si>
  <si>
    <t>P2, 2x1.5 w/filters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</si>
</sst>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1" fontId="0" fillId="0" borderId="0" xfId="0" applyNumberFormat="1"/>
    <xf numFmtId="20" fontId="0" fillId="0" borderId="2" xfId="0" applyNumberFormat="1" applyBorder="1"/>
    <xf numFmtId="0" fontId="0" fillId="0" borderId="2" xfId="0" applyBorder="1"/>
    <xf numFmtId="0" fontId="0" fillId="0" borderId="0" xfId="0" applyFill="1" applyBorder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033C-8C05-41CC-A0E2-13CD2D58CEDE}">
  <dimension ref="A1:V59"/>
  <sheetViews>
    <sheetView tabSelected="1" topLeftCell="A15" workbookViewId="0">
      <selection activeCell="K56" sqref="K56:L59"/>
    </sheetView>
  </sheetViews>
  <sheetFormatPr defaultRowHeight="15" x14ac:dyDescent="0.25"/>
  <cols>
    <col min="7" max="7" width="12.28515625" bestFit="1" customWidth="1"/>
    <col min="11" max="11" width="9.85546875" bestFit="1" customWidth="1"/>
  </cols>
  <sheetData>
    <row r="1" spans="1:20" x14ac:dyDescent="0.25">
      <c r="A1" s="1" t="s">
        <v>0</v>
      </c>
      <c r="B1">
        <v>81</v>
      </c>
      <c r="C1" t="s">
        <v>1</v>
      </c>
      <c r="D1">
        <v>5.5</v>
      </c>
      <c r="E1">
        <f>B1+D1</f>
        <v>86.5</v>
      </c>
      <c r="G1" t="s">
        <v>2</v>
      </c>
      <c r="H1">
        <v>315</v>
      </c>
      <c r="K1" t="s">
        <v>3</v>
      </c>
      <c r="L1">
        <f>H1-D1</f>
        <v>309.5</v>
      </c>
      <c r="N1" t="s">
        <v>4</v>
      </c>
      <c r="O1">
        <v>43</v>
      </c>
      <c r="P1" t="s">
        <v>5</v>
      </c>
      <c r="Q1">
        <f>L1-O1</f>
        <v>266.5</v>
      </c>
      <c r="S1" t="s">
        <v>6</v>
      </c>
      <c r="T1">
        <f>E1+L1</f>
        <v>396</v>
      </c>
    </row>
    <row r="2" spans="1:20" x14ac:dyDescent="0.25">
      <c r="A2" s="1"/>
    </row>
    <row r="3" spans="1:20" x14ac:dyDescent="0.25">
      <c r="A3" s="1">
        <v>0.78819444444444442</v>
      </c>
      <c r="B3">
        <v>44</v>
      </c>
      <c r="C3">
        <v>51</v>
      </c>
      <c r="D3">
        <f>AVERAGE(B3:C3)</f>
        <v>47.5</v>
      </c>
      <c r="E3">
        <f>MAX(B3:C3)-MIN(B3:C3)</f>
        <v>7</v>
      </c>
      <c r="G3" s="1"/>
      <c r="I3" s="4"/>
    </row>
    <row r="4" spans="1:20" x14ac:dyDescent="0.25">
      <c r="A4" s="1">
        <v>0.79166666666666663</v>
      </c>
      <c r="B4">
        <v>59</v>
      </c>
      <c r="C4">
        <v>64</v>
      </c>
      <c r="D4">
        <f>AVERAGE(B4:C4)</f>
        <v>61.5</v>
      </c>
      <c r="E4">
        <f>MAX(B4:C4)-MIN(B4:C4)</f>
        <v>5</v>
      </c>
      <c r="G4" s="1">
        <f>A4-A3</f>
        <v>3.4722222222222099E-3</v>
      </c>
      <c r="H4" s="3">
        <f>D4-D3</f>
        <v>14</v>
      </c>
      <c r="I4" s="4">
        <f>H4/G4/1000</f>
        <v>4.0320000000000142</v>
      </c>
    </row>
    <row r="5" spans="1:20" x14ac:dyDescent="0.25">
      <c r="A5" s="1">
        <v>0.79513888888888884</v>
      </c>
      <c r="B5">
        <v>75</v>
      </c>
      <c r="C5">
        <v>78</v>
      </c>
      <c r="D5">
        <f>AVERAGE(B5:C5)</f>
        <v>76.5</v>
      </c>
      <c r="E5">
        <f>MAX(B5:C5)-MIN(B5:C5)</f>
        <v>3</v>
      </c>
      <c r="G5" s="1">
        <f>A5-A4</f>
        <v>3.4722222222222099E-3</v>
      </c>
      <c r="H5" s="3">
        <f>D5-D4</f>
        <v>15</v>
      </c>
      <c r="I5" s="4">
        <f>H5/G5/1000</f>
        <v>4.3200000000000154</v>
      </c>
    </row>
    <row r="6" spans="1:20" x14ac:dyDescent="0.25">
      <c r="A6" s="1"/>
      <c r="G6" s="1"/>
      <c r="H6" s="3"/>
      <c r="I6" s="4"/>
    </row>
    <row r="7" spans="1:20" x14ac:dyDescent="0.25">
      <c r="A7" s="1" t="s">
        <v>0</v>
      </c>
      <c r="B7">
        <v>81</v>
      </c>
      <c r="C7" t="s">
        <v>1</v>
      </c>
      <c r="D7">
        <v>5.5</v>
      </c>
      <c r="E7">
        <f>B7+D7</f>
        <v>86.5</v>
      </c>
      <c r="G7" t="s">
        <v>2</v>
      </c>
      <c r="H7">
        <v>23</v>
      </c>
      <c r="K7" t="s">
        <v>3</v>
      </c>
      <c r="L7">
        <f>H7-D7</f>
        <v>17.5</v>
      </c>
      <c r="N7" t="s">
        <v>4</v>
      </c>
      <c r="O7">
        <v>6</v>
      </c>
      <c r="P7" t="s">
        <v>5</v>
      </c>
      <c r="Q7">
        <f>L7-O7</f>
        <v>11.5</v>
      </c>
      <c r="S7" t="s">
        <v>6</v>
      </c>
      <c r="T7">
        <f>E7+L7</f>
        <v>104</v>
      </c>
    </row>
    <row r="8" spans="1:20" x14ac:dyDescent="0.25">
      <c r="A8" s="1">
        <v>0.81736111111111109</v>
      </c>
      <c r="B8">
        <v>45</v>
      </c>
      <c r="C8">
        <v>46</v>
      </c>
      <c r="D8">
        <f>AVERAGE(B8:C8)</f>
        <v>45.5</v>
      </c>
      <c r="E8">
        <f>MAX(B8:C8)-MIN(B8:C8)</f>
        <v>1</v>
      </c>
      <c r="G8" s="1"/>
      <c r="H8" s="3"/>
      <c r="I8" s="4"/>
      <c r="K8" s="1">
        <f>A8</f>
        <v>0.81736111111111109</v>
      </c>
      <c r="L8" s="2">
        <f>D8</f>
        <v>45.5</v>
      </c>
    </row>
    <row r="9" spans="1:20" x14ac:dyDescent="0.25">
      <c r="A9" s="1">
        <v>0.82152777777777775</v>
      </c>
      <c r="B9">
        <v>50</v>
      </c>
      <c r="C9">
        <v>55</v>
      </c>
      <c r="D9">
        <f>AVERAGE(B9:C9)</f>
        <v>52.5</v>
      </c>
      <c r="E9">
        <f>MAX(B9:C9)-MIN(B9:C9)</f>
        <v>5</v>
      </c>
      <c r="G9" s="1">
        <f>A9-A8</f>
        <v>4.1666666666666519E-3</v>
      </c>
      <c r="H9" s="3">
        <f>D9-D8</f>
        <v>7</v>
      </c>
      <c r="I9" s="4">
        <f>H9/G9/1000</f>
        <v>1.6800000000000059</v>
      </c>
      <c r="K9" s="1">
        <f>A9</f>
        <v>0.82152777777777775</v>
      </c>
      <c r="L9" s="2">
        <f>D9</f>
        <v>52.5</v>
      </c>
    </row>
    <row r="10" spans="1:20" x14ac:dyDescent="0.25">
      <c r="A10" s="1">
        <v>0.82430555555555551</v>
      </c>
      <c r="B10">
        <v>55</v>
      </c>
      <c r="C10">
        <v>59</v>
      </c>
      <c r="D10">
        <f>AVERAGE(B10:C10)</f>
        <v>57</v>
      </c>
      <c r="E10">
        <f>MAX(B10:C10)-MIN(B10:C10)</f>
        <v>4</v>
      </c>
      <c r="G10" s="1">
        <f>A10-A9</f>
        <v>2.7777777777777679E-3</v>
      </c>
      <c r="H10" s="3">
        <f>D10-D9</f>
        <v>4.5</v>
      </c>
      <c r="I10" s="4">
        <f>H10/G10/1000</f>
        <v>1.6200000000000057</v>
      </c>
      <c r="K10" s="1">
        <f>A10</f>
        <v>0.82430555555555551</v>
      </c>
      <c r="L10" s="2">
        <f>D10</f>
        <v>57</v>
      </c>
    </row>
    <row r="11" spans="1:20" x14ac:dyDescent="0.25">
      <c r="A11" s="1">
        <v>0.82916666666666672</v>
      </c>
      <c r="B11">
        <v>64</v>
      </c>
      <c r="C11">
        <v>65</v>
      </c>
      <c r="D11">
        <f>AVERAGE(B11:C11)</f>
        <v>64.5</v>
      </c>
      <c r="E11">
        <f>MAX(B11:C11)-MIN(B11:C11)</f>
        <v>1</v>
      </c>
      <c r="G11" s="1">
        <f>A11-A10</f>
        <v>4.8611111111112049E-3</v>
      </c>
      <c r="H11" s="3">
        <f>D11-D10</f>
        <v>7.5</v>
      </c>
      <c r="I11" s="4">
        <f>H11/G11/1000</f>
        <v>1.5428571428571132</v>
      </c>
      <c r="K11" s="1">
        <f>A11</f>
        <v>0.82916666666666672</v>
      </c>
      <c r="L11" s="2">
        <f>D11</f>
        <v>64.5</v>
      </c>
    </row>
    <row r="12" spans="1:20" x14ac:dyDescent="0.25">
      <c r="A12" s="1">
        <v>0.83263888888888893</v>
      </c>
      <c r="B12">
        <v>69</v>
      </c>
      <c r="C12">
        <v>70</v>
      </c>
      <c r="D12">
        <f>AVERAGE(B12:C12)</f>
        <v>69.5</v>
      </c>
      <c r="E12">
        <f>MAX(B12:C12)-MIN(B12:C12)</f>
        <v>1</v>
      </c>
      <c r="G12" s="1">
        <f>A12-A11</f>
        <v>3.4722222222222099E-3</v>
      </c>
      <c r="H12" s="3">
        <f>D12-D11</f>
        <v>5</v>
      </c>
      <c r="I12" s="4">
        <f>H12/G12/1000</f>
        <v>1.4400000000000051</v>
      </c>
      <c r="K12" s="1">
        <f>A12</f>
        <v>0.83263888888888893</v>
      </c>
      <c r="L12" s="2">
        <f>D12</f>
        <v>69.5</v>
      </c>
    </row>
    <row r="14" spans="1:20" x14ac:dyDescent="0.25">
      <c r="A14" t="s">
        <v>7</v>
      </c>
    </row>
    <row r="15" spans="1:20" x14ac:dyDescent="0.25">
      <c r="A15" s="1">
        <v>0.84722222222222221</v>
      </c>
      <c r="B15">
        <v>71</v>
      </c>
      <c r="C15">
        <v>72</v>
      </c>
      <c r="D15">
        <f>AVERAGE(B15:C15)</f>
        <v>71.5</v>
      </c>
      <c r="E15">
        <f>MAX(B15:C15)-MIN(B15:C15)</f>
        <v>1</v>
      </c>
      <c r="G15" s="1"/>
      <c r="H15" s="3"/>
      <c r="I15" s="4"/>
      <c r="K15" s="1">
        <f>A15</f>
        <v>0.84722222222222221</v>
      </c>
      <c r="L15" s="2">
        <f>D15</f>
        <v>71.5</v>
      </c>
    </row>
    <row r="16" spans="1:20" x14ac:dyDescent="0.25">
      <c r="A16" s="1">
        <v>0.85069444444444442</v>
      </c>
      <c r="B16">
        <v>77</v>
      </c>
      <c r="C16">
        <v>77</v>
      </c>
      <c r="D16">
        <f>AVERAGE(B16:C16)</f>
        <v>77</v>
      </c>
      <c r="E16">
        <f>MAX(B16:C16)-MIN(B16:C16)</f>
        <v>0</v>
      </c>
      <c r="G16" s="1">
        <f>A16-A15</f>
        <v>3.4722222222222099E-3</v>
      </c>
      <c r="H16" s="3">
        <f>D16-D15</f>
        <v>5.5</v>
      </c>
      <c r="I16" s="4">
        <f>H16/G16/1000</f>
        <v>1.5840000000000056</v>
      </c>
      <c r="K16" s="1">
        <f>A16</f>
        <v>0.85069444444444442</v>
      </c>
      <c r="L16" s="2">
        <f>D16</f>
        <v>77</v>
      </c>
    </row>
    <row r="17" spans="1:20" x14ac:dyDescent="0.25">
      <c r="A17" s="1" t="s">
        <v>8</v>
      </c>
    </row>
    <row r="18" spans="1:20" x14ac:dyDescent="0.25">
      <c r="A18" s="1">
        <v>0.85763888888888884</v>
      </c>
      <c r="B18">
        <v>61</v>
      </c>
      <c r="C18">
        <v>56</v>
      </c>
      <c r="D18">
        <f>AVERAGE(B18:C18)</f>
        <v>58.5</v>
      </c>
      <c r="E18">
        <f>MAX(B18:C18)-MIN(B18:C18)</f>
        <v>5</v>
      </c>
      <c r="K18" s="5">
        <f>A18</f>
        <v>0.85763888888888884</v>
      </c>
      <c r="L18" s="2">
        <f>D18</f>
        <v>58.5</v>
      </c>
    </row>
    <row r="19" spans="1:20" x14ac:dyDescent="0.25">
      <c r="A19" s="1">
        <v>0.86145833333333333</v>
      </c>
      <c r="B19">
        <v>66</v>
      </c>
      <c r="C19">
        <v>64</v>
      </c>
      <c r="D19">
        <f>AVERAGE(B19:C19)</f>
        <v>65</v>
      </c>
      <c r="E19">
        <f>MAX(B19:C19)-MIN(B19:C19)</f>
        <v>2</v>
      </c>
      <c r="G19" s="1">
        <f>A19-A18</f>
        <v>3.8194444444444864E-3</v>
      </c>
      <c r="H19" s="3">
        <f>D19-D18</f>
        <v>6.5</v>
      </c>
      <c r="I19" s="4">
        <f>H19/G19/1000</f>
        <v>1.701818181818163</v>
      </c>
      <c r="K19" s="5">
        <f>A19</f>
        <v>0.86145833333333333</v>
      </c>
      <c r="L19" s="2">
        <f>D19</f>
        <v>65</v>
      </c>
    </row>
    <row r="20" spans="1:20" x14ac:dyDescent="0.25">
      <c r="A20" s="1">
        <v>0.86458333333333337</v>
      </c>
      <c r="B20">
        <v>70</v>
      </c>
      <c r="C20">
        <v>69</v>
      </c>
      <c r="D20">
        <f>AVERAGE(B20:C20)</f>
        <v>69.5</v>
      </c>
      <c r="E20">
        <f>MAX(B20:C20)-MIN(B20:C20)</f>
        <v>1</v>
      </c>
      <c r="G20" s="1">
        <f>A20-A19</f>
        <v>3.1250000000000444E-3</v>
      </c>
      <c r="H20" s="3">
        <f>D20-D19</f>
        <v>4.5</v>
      </c>
      <c r="I20" s="4">
        <f>H20/G20/1000</f>
        <v>1.4399999999999795</v>
      </c>
      <c r="K20" s="5">
        <f>A20</f>
        <v>0.86458333333333337</v>
      </c>
      <c r="L20" s="2">
        <f>D20</f>
        <v>69.5</v>
      </c>
    </row>
    <row r="21" spans="1:20" x14ac:dyDescent="0.25">
      <c r="A21" s="1">
        <v>0.86805555555555558</v>
      </c>
      <c r="B21">
        <v>76</v>
      </c>
      <c r="C21">
        <v>74</v>
      </c>
      <c r="D21">
        <f>AVERAGE(B21:C21)</f>
        <v>75</v>
      </c>
      <c r="E21">
        <f>MAX(B21:C21)-MIN(B21:C21)</f>
        <v>2</v>
      </c>
      <c r="G21" s="1">
        <f>A21-A20</f>
        <v>3.4722222222222099E-3</v>
      </c>
      <c r="H21" s="3">
        <f>D21-D20</f>
        <v>5.5</v>
      </c>
      <c r="I21" s="4">
        <f>H21/G21/1000</f>
        <v>1.5840000000000056</v>
      </c>
      <c r="K21" s="5">
        <f>A21</f>
        <v>0.86805555555555558</v>
      </c>
      <c r="L21" s="2">
        <f>D21</f>
        <v>75</v>
      </c>
    </row>
    <row r="23" spans="1:20" ht="15.75" thickBot="1" x14ac:dyDescent="0.3">
      <c r="A23" s="6" t="s">
        <v>0</v>
      </c>
      <c r="B23" s="7">
        <v>81</v>
      </c>
      <c r="C23" s="7" t="s">
        <v>1</v>
      </c>
      <c r="D23" s="7">
        <v>5.5</v>
      </c>
      <c r="E23" s="7">
        <f>B23+D23</f>
        <v>86.5</v>
      </c>
      <c r="F23" s="7"/>
      <c r="G23" s="7" t="s">
        <v>2</v>
      </c>
      <c r="H23" s="7">
        <v>308</v>
      </c>
      <c r="I23" s="7"/>
      <c r="J23" s="7"/>
      <c r="K23" s="7" t="s">
        <v>3</v>
      </c>
      <c r="L23" s="7">
        <f>H23-D23</f>
        <v>302.5</v>
      </c>
      <c r="M23" s="7"/>
      <c r="N23" s="7" t="s">
        <v>4</v>
      </c>
      <c r="O23" s="7">
        <v>42</v>
      </c>
      <c r="P23" s="7" t="s">
        <v>5</v>
      </c>
      <c r="Q23" s="7">
        <f>L23-O23</f>
        <v>260.5</v>
      </c>
      <c r="R23" s="7"/>
      <c r="S23" s="7" t="s">
        <v>6</v>
      </c>
      <c r="T23" s="7">
        <f>E23+L23</f>
        <v>389</v>
      </c>
    </row>
    <row r="24" spans="1:20" ht="15.75" thickTop="1" x14ac:dyDescent="0.25">
      <c r="A24" s="5">
        <v>0.90277777777777779</v>
      </c>
      <c r="B24">
        <v>33</v>
      </c>
      <c r="C24">
        <v>35</v>
      </c>
      <c r="D24">
        <f>AVERAGE(B24:C24)</f>
        <v>34</v>
      </c>
      <c r="E24">
        <f>MAX(B24:C24)-MIN(B24:C24)</f>
        <v>2</v>
      </c>
      <c r="K24" s="5">
        <f>A24</f>
        <v>0.90277777777777779</v>
      </c>
      <c r="L24" s="2">
        <f>D24</f>
        <v>34</v>
      </c>
    </row>
    <row r="25" spans="1:20" x14ac:dyDescent="0.25">
      <c r="A25" s="5">
        <v>0.90625</v>
      </c>
      <c r="B25">
        <v>49</v>
      </c>
      <c r="C25">
        <v>51</v>
      </c>
      <c r="D25">
        <f>AVERAGE(B25:C25)</f>
        <v>50</v>
      </c>
      <c r="E25">
        <f>MAX(B25:C25)-MIN(B25:C25)</f>
        <v>2</v>
      </c>
      <c r="G25" s="1">
        <f>A25-A24</f>
        <v>3.4722222222222099E-3</v>
      </c>
      <c r="H25" s="3">
        <f>D25-D24</f>
        <v>16</v>
      </c>
      <c r="I25" s="4">
        <f>H25/G25/1000</f>
        <v>4.6080000000000165</v>
      </c>
      <c r="K25" s="5">
        <f>A25</f>
        <v>0.90625</v>
      </c>
      <c r="L25" s="2">
        <f>D25</f>
        <v>50</v>
      </c>
    </row>
    <row r="26" spans="1:20" x14ac:dyDescent="0.25">
      <c r="A26" s="5">
        <v>0.90972222222222221</v>
      </c>
      <c r="B26">
        <v>64</v>
      </c>
      <c r="C26">
        <v>66</v>
      </c>
      <c r="D26">
        <f>AVERAGE(B26:C26)</f>
        <v>65</v>
      </c>
      <c r="E26">
        <f>MAX(B26:C26)-MIN(B26:C26)</f>
        <v>2</v>
      </c>
      <c r="G26" s="1">
        <f>A26-A25</f>
        <v>3.4722222222222099E-3</v>
      </c>
      <c r="H26" s="3">
        <f>D26-D25</f>
        <v>15</v>
      </c>
      <c r="I26" s="4">
        <f>H26/G26/1000</f>
        <v>4.3200000000000154</v>
      </c>
      <c r="K26" s="5">
        <f>A26</f>
        <v>0.90972222222222221</v>
      </c>
      <c r="L26" s="2">
        <f>D26</f>
        <v>65</v>
      </c>
    </row>
    <row r="27" spans="1:20" x14ac:dyDescent="0.25">
      <c r="A27" s="5">
        <v>0.91319444444444442</v>
      </c>
      <c r="B27">
        <v>79</v>
      </c>
      <c r="C27">
        <v>81</v>
      </c>
      <c r="D27">
        <f>AVERAGE(B27:C27)</f>
        <v>80</v>
      </c>
      <c r="E27">
        <f>MAX(B27:C27)-MIN(B27:C27)</f>
        <v>2</v>
      </c>
      <c r="G27" s="1">
        <f>A27-A26</f>
        <v>3.4722222222222099E-3</v>
      </c>
      <c r="H27" s="3">
        <f>D27-D26</f>
        <v>15</v>
      </c>
      <c r="I27" s="4">
        <f>H27/G27/1000</f>
        <v>4.3200000000000154</v>
      </c>
      <c r="K27" s="5">
        <f>A27</f>
        <v>0.91319444444444442</v>
      </c>
      <c r="L27" s="2">
        <f>D27</f>
        <v>80</v>
      </c>
    </row>
    <row r="29" spans="1:20" ht="15.75" thickBot="1" x14ac:dyDescent="0.3">
      <c r="A29" s="6" t="s">
        <v>0</v>
      </c>
      <c r="B29" s="7">
        <v>81</v>
      </c>
      <c r="C29" s="7" t="s">
        <v>1</v>
      </c>
      <c r="D29" s="7">
        <v>5.5</v>
      </c>
      <c r="E29" s="7">
        <f>B29+D29</f>
        <v>86.5</v>
      </c>
      <c r="F29" s="7"/>
      <c r="G29" s="7" t="s">
        <v>2</v>
      </c>
      <c r="H29" s="7">
        <v>745</v>
      </c>
      <c r="I29" s="7"/>
      <c r="J29" s="7"/>
      <c r="K29" s="7" t="s">
        <v>3</v>
      </c>
      <c r="L29" s="7">
        <f>H29-D29</f>
        <v>739.5</v>
      </c>
      <c r="M29" s="7"/>
      <c r="N29" s="7" t="s">
        <v>4</v>
      </c>
      <c r="O29" s="7">
        <v>100</v>
      </c>
      <c r="P29" s="7" t="s">
        <v>5</v>
      </c>
      <c r="Q29" s="7">
        <f>L29-O29</f>
        <v>639.5</v>
      </c>
      <c r="R29" s="7"/>
      <c r="S29" s="7" t="s">
        <v>6</v>
      </c>
      <c r="T29" s="7">
        <f>E29+L29</f>
        <v>826</v>
      </c>
    </row>
    <row r="30" spans="1:20" ht="15.75" thickTop="1" x14ac:dyDescent="0.25">
      <c r="A30" s="5">
        <v>0.93680555555555556</v>
      </c>
      <c r="B30" s="8">
        <v>43</v>
      </c>
      <c r="C30" s="8">
        <v>50</v>
      </c>
      <c r="D30">
        <f>AVERAGE(B30:C30)</f>
        <v>46.5</v>
      </c>
      <c r="E30">
        <f>MAX(B30:C30)-MIN(B30:C30)</f>
        <v>7</v>
      </c>
      <c r="K30" s="5">
        <f>A30</f>
        <v>0.93680555555555556</v>
      </c>
      <c r="L30" s="2">
        <f>D30</f>
        <v>46.5</v>
      </c>
    </row>
    <row r="31" spans="1:20" x14ac:dyDescent="0.25">
      <c r="A31" s="5">
        <v>0.94027777777777777</v>
      </c>
      <c r="B31" s="8">
        <v>68</v>
      </c>
      <c r="C31" s="8">
        <v>73</v>
      </c>
      <c r="D31">
        <f>AVERAGE(B31:C31)</f>
        <v>70.5</v>
      </c>
      <c r="E31">
        <f>MAX(B31:C31)-MIN(B31:C31)</f>
        <v>5</v>
      </c>
      <c r="G31" s="1">
        <f>A31-A30</f>
        <v>3.4722222222222099E-3</v>
      </c>
      <c r="H31" s="3">
        <f>D31-D30</f>
        <v>24</v>
      </c>
      <c r="I31" s="4">
        <f>H31/G31/1000</f>
        <v>6.9120000000000248</v>
      </c>
      <c r="K31" s="5">
        <f>A31</f>
        <v>0.94027777777777777</v>
      </c>
      <c r="L31" s="2">
        <f>D31</f>
        <v>70.5</v>
      </c>
    </row>
    <row r="32" spans="1:20" x14ac:dyDescent="0.25">
      <c r="A32" s="5">
        <v>0.94131944444444449</v>
      </c>
      <c r="B32" s="8">
        <v>80</v>
      </c>
      <c r="C32" s="8">
        <v>77</v>
      </c>
      <c r="D32">
        <f>AVERAGE(B32:C32)</f>
        <v>78.5</v>
      </c>
      <c r="E32">
        <f>MAX(B32:C32)-MIN(B32:C32)</f>
        <v>3</v>
      </c>
      <c r="G32" s="1">
        <f>A32-A31</f>
        <v>1.0416666666667185E-3</v>
      </c>
      <c r="H32" s="3">
        <f>D32-D31</f>
        <v>8</v>
      </c>
      <c r="I32" s="4">
        <f>H32/G32/1000</f>
        <v>7.6799999999996178</v>
      </c>
      <c r="K32" s="5">
        <f>A32</f>
        <v>0.94131944444444449</v>
      </c>
      <c r="L32" s="2">
        <f>D32</f>
        <v>78.5</v>
      </c>
    </row>
    <row r="33" spans="1:22" x14ac:dyDescent="0.25">
      <c r="A33" s="5"/>
      <c r="D33" t="e">
        <f>AVERAGE(B33:C33)</f>
        <v>#DIV/0!</v>
      </c>
      <c r="E33">
        <f>MAX(B33:C33)-MIN(B33:C33)</f>
        <v>0</v>
      </c>
      <c r="G33" s="1">
        <f>A33-A32</f>
        <v>-0.94131944444444449</v>
      </c>
      <c r="H33" s="3" t="e">
        <f>D33-D32</f>
        <v>#DIV/0!</v>
      </c>
      <c r="I33" s="4" t="e">
        <f>H33/G33/1000</f>
        <v>#DIV/0!</v>
      </c>
      <c r="K33" s="5">
        <f>A33</f>
        <v>0</v>
      </c>
      <c r="L33" s="2" t="e">
        <f>D33</f>
        <v>#DIV/0!</v>
      </c>
    </row>
    <row r="35" spans="1:22" ht="15.75" thickBot="1" x14ac:dyDescent="0.3">
      <c r="A35" s="6" t="s">
        <v>0</v>
      </c>
      <c r="B35" s="7">
        <v>81</v>
      </c>
      <c r="C35" s="7" t="s">
        <v>1</v>
      </c>
      <c r="D35" s="7">
        <v>5.5</v>
      </c>
      <c r="E35" s="7">
        <f>B35+D35</f>
        <v>86.5</v>
      </c>
      <c r="F35" s="7"/>
      <c r="G35" s="7" t="s">
        <v>2</v>
      </c>
      <c r="H35" s="7">
        <v>745</v>
      </c>
      <c r="I35" s="7"/>
      <c r="J35" s="7"/>
      <c r="K35" s="7" t="s">
        <v>3</v>
      </c>
      <c r="L35" s="7">
        <f>H35-D35</f>
        <v>739.5</v>
      </c>
      <c r="M35" s="7"/>
      <c r="N35" s="7" t="s">
        <v>4</v>
      </c>
      <c r="O35" s="7">
        <v>100</v>
      </c>
      <c r="P35" s="7" t="s">
        <v>5</v>
      </c>
      <c r="Q35" s="7">
        <f>L35-O35</f>
        <v>639.5</v>
      </c>
      <c r="R35" s="7"/>
      <c r="S35" s="7" t="s">
        <v>6</v>
      </c>
      <c r="T35" s="7">
        <f>E35+L35</f>
        <v>826</v>
      </c>
    </row>
    <row r="36" spans="1:22" ht="15.75" thickTop="1" x14ac:dyDescent="0.25">
      <c r="A36" s="5">
        <v>0.95659722222222221</v>
      </c>
      <c r="B36" s="8">
        <v>41</v>
      </c>
      <c r="C36" s="8">
        <v>49</v>
      </c>
      <c r="D36">
        <f>AVERAGE(B36:C36)</f>
        <v>45</v>
      </c>
      <c r="E36">
        <f>MAX(B36:C36)-MIN(B36:C36)</f>
        <v>8</v>
      </c>
      <c r="K36" s="5">
        <f>A36</f>
        <v>0.95659722222222221</v>
      </c>
      <c r="L36" s="2">
        <f>D36</f>
        <v>45</v>
      </c>
    </row>
    <row r="37" spans="1:22" x14ac:dyDescent="0.25">
      <c r="A37" s="5">
        <v>0.95902777777777781</v>
      </c>
      <c r="B37" s="8">
        <v>64</v>
      </c>
      <c r="C37" s="8">
        <v>58</v>
      </c>
      <c r="D37">
        <f>AVERAGE(B37:C37)</f>
        <v>61</v>
      </c>
      <c r="E37">
        <f>MAX(B37:C37)-MIN(B37:C37)</f>
        <v>6</v>
      </c>
      <c r="G37" s="5">
        <f>A37-A36</f>
        <v>2.4305555555556024E-3</v>
      </c>
      <c r="H37" s="3">
        <f>D37-D36</f>
        <v>16</v>
      </c>
      <c r="I37" s="4">
        <f>H37/G37/1000</f>
        <v>6.5828571428570157</v>
      </c>
      <c r="K37" s="5">
        <f>A37</f>
        <v>0.95902777777777781</v>
      </c>
      <c r="L37" s="2">
        <f>D37</f>
        <v>61</v>
      </c>
    </row>
    <row r="38" spans="1:22" x14ac:dyDescent="0.25">
      <c r="A38" s="5">
        <v>0.96111111111111114</v>
      </c>
      <c r="B38" s="8">
        <v>72</v>
      </c>
      <c r="C38" s="8">
        <v>76</v>
      </c>
      <c r="D38">
        <f>AVERAGE(B38:C38)</f>
        <v>74</v>
      </c>
      <c r="E38">
        <f>MAX(B38:C38)-MIN(B38:C38)</f>
        <v>4</v>
      </c>
      <c r="G38" s="5">
        <f>A38-A37</f>
        <v>2.0833333333333259E-3</v>
      </c>
      <c r="H38" s="3">
        <f>D38-D37</f>
        <v>13</v>
      </c>
      <c r="I38" s="4">
        <f>H38/G38/1000</f>
        <v>6.2400000000000215</v>
      </c>
      <c r="K38" s="5">
        <f>A38</f>
        <v>0.96111111111111114</v>
      </c>
      <c r="L38" s="2">
        <f>D38</f>
        <v>74</v>
      </c>
    </row>
    <row r="39" spans="1:22" x14ac:dyDescent="0.25">
      <c r="A39" s="5">
        <v>0.96168981481481486</v>
      </c>
      <c r="B39" s="8">
        <v>80</v>
      </c>
      <c r="C39" s="8">
        <v>77</v>
      </c>
      <c r="D39">
        <f>AVERAGE(B39:C39)</f>
        <v>78.5</v>
      </c>
      <c r="E39">
        <f>MAX(B39:C39)-MIN(B39:C39)</f>
        <v>3</v>
      </c>
      <c r="G39" s="5">
        <f>A39-A38</f>
        <v>5.7870370370372015E-4</v>
      </c>
      <c r="H39" s="3">
        <f>D39-D38</f>
        <v>4.5</v>
      </c>
      <c r="I39" s="4">
        <f>H39/G39/1000</f>
        <v>7.7759999999997786</v>
      </c>
      <c r="K39" s="5">
        <f>A39</f>
        <v>0.96168981481481486</v>
      </c>
      <c r="L39" s="2">
        <f>D39</f>
        <v>78.5</v>
      </c>
    </row>
    <row r="41" spans="1:22" x14ac:dyDescent="0.25">
      <c r="A41" t="s">
        <v>9</v>
      </c>
    </row>
    <row r="42" spans="1:22" ht="15.75" thickBot="1" x14ac:dyDescent="0.3">
      <c r="A42" s="6" t="s">
        <v>0</v>
      </c>
      <c r="B42" s="7">
        <v>81</v>
      </c>
      <c r="C42" s="7" t="s">
        <v>1</v>
      </c>
      <c r="D42" s="7">
        <v>5.5</v>
      </c>
      <c r="E42" s="7">
        <f>B42+D42</f>
        <v>86.5</v>
      </c>
      <c r="F42" s="7"/>
      <c r="G42" s="7" t="s">
        <v>2</v>
      </c>
      <c r="H42" s="7">
        <v>745</v>
      </c>
      <c r="I42" s="7"/>
      <c r="J42" s="7"/>
      <c r="K42" s="7" t="s">
        <v>3</v>
      </c>
      <c r="L42" s="7">
        <f>H42-D42</f>
        <v>739.5</v>
      </c>
      <c r="M42" s="7"/>
      <c r="N42" s="7" t="s">
        <v>4</v>
      </c>
      <c r="O42" s="7">
        <v>100</v>
      </c>
      <c r="P42" s="7" t="s">
        <v>5</v>
      </c>
      <c r="Q42" s="7">
        <f>L42-O42</f>
        <v>639.5</v>
      </c>
      <c r="R42" s="7"/>
      <c r="S42" s="7" t="s">
        <v>6</v>
      </c>
      <c r="T42" s="7">
        <f>E42+L42</f>
        <v>826</v>
      </c>
    </row>
    <row r="43" spans="1:22" ht="15.75" thickTop="1" x14ac:dyDescent="0.25">
      <c r="A43" s="5">
        <v>0.97256944444444449</v>
      </c>
      <c r="B43" s="8">
        <v>46</v>
      </c>
      <c r="C43" s="8">
        <v>54</v>
      </c>
      <c r="D43">
        <f>AVERAGE(B43:C43)</f>
        <v>50</v>
      </c>
      <c r="E43">
        <f>MAX(B43:C43)-MIN(B43:C43)</f>
        <v>8</v>
      </c>
      <c r="K43" s="5">
        <f>A43</f>
        <v>0.97256944444444449</v>
      </c>
      <c r="L43" s="2">
        <f>D43</f>
        <v>50</v>
      </c>
    </row>
    <row r="44" spans="1:22" x14ac:dyDescent="0.25">
      <c r="A44" s="5">
        <f>A43+3/24/60</f>
        <v>0.97465277777777781</v>
      </c>
      <c r="B44" s="8">
        <v>60</v>
      </c>
      <c r="C44" s="8">
        <v>65</v>
      </c>
      <c r="D44">
        <f>AVERAGE(B44:C44)</f>
        <v>62.5</v>
      </c>
      <c r="E44">
        <f>MAX(B44:C44)-MIN(B44:C44)</f>
        <v>5</v>
      </c>
      <c r="G44" s="5">
        <f>A44-A43</f>
        <v>2.0833333333333259E-3</v>
      </c>
      <c r="H44" s="3">
        <f>D44-D43</f>
        <v>12.5</v>
      </c>
      <c r="I44" s="4">
        <f>H44/G44/1000</f>
        <v>6.0000000000000213</v>
      </c>
      <c r="K44" s="5">
        <f>A44</f>
        <v>0.97465277777777781</v>
      </c>
      <c r="L44" s="2">
        <f>D44</f>
        <v>62.5</v>
      </c>
    </row>
    <row r="45" spans="1:22" x14ac:dyDescent="0.25">
      <c r="A45" s="5">
        <f>A44+3/24/60</f>
        <v>0.97673611111111114</v>
      </c>
      <c r="B45" s="8">
        <v>74</v>
      </c>
      <c r="C45" s="8">
        <v>78</v>
      </c>
      <c r="D45">
        <f>AVERAGE(B45:C45)</f>
        <v>76</v>
      </c>
      <c r="E45">
        <f>MAX(B45:C45)-MIN(B45:C45)</f>
        <v>4</v>
      </c>
      <c r="G45" s="5">
        <f>A45-A44</f>
        <v>2.0833333333333259E-3</v>
      </c>
      <c r="H45" s="3">
        <f>D45-D44</f>
        <v>13.5</v>
      </c>
      <c r="I45" s="4">
        <f>H45/G45/1000</f>
        <v>6.4800000000000226</v>
      </c>
      <c r="K45" s="5">
        <f>A45</f>
        <v>0.97673611111111114</v>
      </c>
      <c r="L45" s="2">
        <f>D45</f>
        <v>76</v>
      </c>
    </row>
    <row r="46" spans="1:22" x14ac:dyDescent="0.25">
      <c r="A46" s="5"/>
      <c r="B46" s="8"/>
      <c r="C46" s="8"/>
      <c r="D46" t="e">
        <f>AVERAGE(B46:C46)</f>
        <v>#DIV/0!</v>
      </c>
      <c r="E46">
        <f>MAX(B46:C46)-MIN(B46:C46)</f>
        <v>0</v>
      </c>
      <c r="G46" s="5">
        <f>A46-A45</f>
        <v>-0.97673611111111114</v>
      </c>
      <c r="H46" s="3" t="e">
        <f>D46-D45</f>
        <v>#DIV/0!</v>
      </c>
      <c r="I46" s="4" t="e">
        <f>H46/G46/1000</f>
        <v>#DIV/0!</v>
      </c>
      <c r="K46" s="5">
        <f>A46</f>
        <v>0</v>
      </c>
      <c r="L46" s="2" t="e">
        <f>D46</f>
        <v>#DIV/0!</v>
      </c>
    </row>
    <row r="47" spans="1:22" x14ac:dyDescent="0.25">
      <c r="A47" t="s">
        <v>11</v>
      </c>
    </row>
    <row r="48" spans="1:22" ht="15.75" thickBot="1" x14ac:dyDescent="0.3">
      <c r="A48" s="6" t="s">
        <v>0</v>
      </c>
      <c r="B48" s="7">
        <v>81</v>
      </c>
      <c r="C48" s="7" t="s">
        <v>1</v>
      </c>
      <c r="D48" s="7">
        <v>5.5</v>
      </c>
      <c r="E48" s="7">
        <f>B48+D48</f>
        <v>86.5</v>
      </c>
      <c r="F48" s="7"/>
      <c r="G48" s="7" t="s">
        <v>2</v>
      </c>
      <c r="H48" s="7">
        <v>308</v>
      </c>
      <c r="I48" s="7"/>
      <c r="J48" s="7"/>
      <c r="K48" s="7" t="s">
        <v>3</v>
      </c>
      <c r="L48" s="7">
        <f>H48-D48</f>
        <v>302.5</v>
      </c>
      <c r="M48" s="7"/>
      <c r="N48" s="7" t="s">
        <v>4</v>
      </c>
      <c r="O48" s="7">
        <v>42</v>
      </c>
      <c r="P48" s="7" t="s">
        <v>5</v>
      </c>
      <c r="Q48" s="7">
        <f>L48-O48</f>
        <v>260.5</v>
      </c>
      <c r="R48" s="7"/>
      <c r="S48" s="7" t="s">
        <v>6</v>
      </c>
      <c r="T48" s="7">
        <f>E48+L48</f>
        <v>389</v>
      </c>
      <c r="U48" s="9">
        <f>B48+H48</f>
        <v>389</v>
      </c>
      <c r="V48" s="9">
        <f>U48-O48</f>
        <v>347</v>
      </c>
    </row>
    <row r="49" spans="1:22" ht="15.75" thickTop="1" x14ac:dyDescent="0.25">
      <c r="A49" s="5">
        <v>0.99236111111111114</v>
      </c>
      <c r="B49" s="8">
        <v>47</v>
      </c>
      <c r="C49" s="8">
        <v>41</v>
      </c>
      <c r="D49">
        <f>AVERAGE(B49:C49)</f>
        <v>44</v>
      </c>
      <c r="E49">
        <f>MAX(B49:C49)-MIN(B49:C49)</f>
        <v>6</v>
      </c>
      <c r="K49" s="5">
        <f>A49</f>
        <v>0.99236111111111114</v>
      </c>
      <c r="L49" s="2">
        <f>D49</f>
        <v>44</v>
      </c>
    </row>
    <row r="50" spans="1:22" x14ac:dyDescent="0.25">
      <c r="A50" s="5">
        <f>A49+3/24/60</f>
        <v>0.99444444444444446</v>
      </c>
      <c r="B50" s="8">
        <v>55</v>
      </c>
      <c r="C50" s="8">
        <v>52</v>
      </c>
      <c r="D50">
        <f>AVERAGE(B50:C50)</f>
        <v>53.5</v>
      </c>
      <c r="E50">
        <f>MAX(B50:C50)-MIN(B50:C50)</f>
        <v>3</v>
      </c>
      <c r="G50" s="5">
        <f>A50-A49</f>
        <v>2.0833333333333259E-3</v>
      </c>
      <c r="H50" s="3">
        <f>D50-D49</f>
        <v>9.5</v>
      </c>
      <c r="I50" s="4">
        <f>H50/G50/1000</f>
        <v>4.5600000000000165</v>
      </c>
      <c r="K50" s="5">
        <f>A50</f>
        <v>0.99444444444444446</v>
      </c>
      <c r="L50" s="2">
        <f>D50</f>
        <v>53.5</v>
      </c>
    </row>
    <row r="51" spans="1:22" x14ac:dyDescent="0.25">
      <c r="A51" s="5">
        <f>A50+3/24/60</f>
        <v>0.99652777777777779</v>
      </c>
      <c r="B51" s="8">
        <v>60</v>
      </c>
      <c r="C51" s="8">
        <v>64</v>
      </c>
      <c r="D51">
        <f>AVERAGE(B51:C51)</f>
        <v>62</v>
      </c>
      <c r="E51">
        <f>MAX(B51:C51)-MIN(B51:C51)</f>
        <v>4</v>
      </c>
      <c r="G51" s="5">
        <f>A51-A50</f>
        <v>2.0833333333333259E-3</v>
      </c>
      <c r="H51" s="3">
        <f>D51-D50</f>
        <v>8.5</v>
      </c>
      <c r="I51" s="4">
        <f>H51/G51/1000</f>
        <v>4.0800000000000143</v>
      </c>
      <c r="K51" s="5">
        <f>A51</f>
        <v>0.99652777777777779</v>
      </c>
      <c r="L51" s="2">
        <f>D51</f>
        <v>62</v>
      </c>
    </row>
    <row r="52" spans="1:22" x14ac:dyDescent="0.25">
      <c r="A52" s="5">
        <f>A51+3/24/60</f>
        <v>0.99861111111111112</v>
      </c>
      <c r="B52" s="8">
        <v>70</v>
      </c>
      <c r="C52" s="8">
        <v>73</v>
      </c>
      <c r="D52">
        <f>AVERAGE(B52:C52)</f>
        <v>71.5</v>
      </c>
      <c r="E52">
        <f>MAX(B52:C52)-MIN(B52:C52)</f>
        <v>3</v>
      </c>
      <c r="G52" s="5">
        <f>A52-A51</f>
        <v>2.0833333333333259E-3</v>
      </c>
      <c r="H52" s="3">
        <f>D52-D51</f>
        <v>9.5</v>
      </c>
      <c r="I52" s="4">
        <f>H52/G52/1000</f>
        <v>4.5600000000000165</v>
      </c>
      <c r="K52" s="5">
        <f>A52</f>
        <v>0.99861111111111112</v>
      </c>
      <c r="L52" s="2">
        <f>D52</f>
        <v>71.5</v>
      </c>
    </row>
    <row r="54" spans="1:22" x14ac:dyDescent="0.25">
      <c r="A54" t="s">
        <v>10</v>
      </c>
    </row>
    <row r="55" spans="1:22" ht="15.75" thickBot="1" x14ac:dyDescent="0.3">
      <c r="A55" s="6" t="s">
        <v>0</v>
      </c>
      <c r="B55" s="7">
        <v>81</v>
      </c>
      <c r="C55" s="7" t="s">
        <v>1</v>
      </c>
      <c r="D55" s="7">
        <v>5.5</v>
      </c>
      <c r="E55" s="7">
        <f>B55+D55</f>
        <v>86.5</v>
      </c>
      <c r="F55" s="7"/>
      <c r="G55" s="7" t="s">
        <v>2</v>
      </c>
      <c r="H55" s="7">
        <v>23</v>
      </c>
      <c r="I55" s="7"/>
      <c r="J55" s="7"/>
      <c r="K55" s="7" t="s">
        <v>3</v>
      </c>
      <c r="L55" s="7">
        <f>H55-D55</f>
        <v>17.5</v>
      </c>
      <c r="M55" s="7"/>
      <c r="N55" s="7" t="s">
        <v>4</v>
      </c>
      <c r="O55" s="7">
        <v>6</v>
      </c>
      <c r="P55" s="7" t="s">
        <v>5</v>
      </c>
      <c r="Q55" s="7">
        <f>L55-O55</f>
        <v>11.5</v>
      </c>
      <c r="R55" s="7"/>
      <c r="S55" s="7" t="s">
        <v>6</v>
      </c>
      <c r="T55" s="7">
        <f>E55+L55</f>
        <v>104</v>
      </c>
      <c r="U55" s="9">
        <f>B55+H55</f>
        <v>104</v>
      </c>
      <c r="V55" s="9">
        <f>U55-O55</f>
        <v>98</v>
      </c>
    </row>
    <row r="56" spans="1:22" ht="15.75" thickTop="1" x14ac:dyDescent="0.25">
      <c r="A56" s="5">
        <v>1.1805555555555555E-2</v>
      </c>
      <c r="B56" s="8">
        <v>60</v>
      </c>
      <c r="C56" s="8">
        <v>59</v>
      </c>
      <c r="D56">
        <f>AVERAGE(B56:C56)</f>
        <v>59.5</v>
      </c>
      <c r="E56">
        <f>MAX(B56:C56)-MIN(B56:C56)</f>
        <v>1</v>
      </c>
      <c r="K56" s="5">
        <f>A56</f>
        <v>1.1805555555555555E-2</v>
      </c>
      <c r="L56" s="2">
        <f>D56</f>
        <v>59.5</v>
      </c>
    </row>
    <row r="57" spans="1:22" x14ac:dyDescent="0.25">
      <c r="A57" s="5">
        <f>A56+3/24/60</f>
        <v>1.3888888888888888E-2</v>
      </c>
      <c r="B57" s="8">
        <v>60</v>
      </c>
      <c r="C57" s="8">
        <v>65</v>
      </c>
      <c r="D57">
        <f>AVERAGE(B57:C57)</f>
        <v>62.5</v>
      </c>
      <c r="E57">
        <f>MAX(B57:C57)-MIN(B57:C57)</f>
        <v>5</v>
      </c>
      <c r="G57" s="5">
        <f>A57-A56</f>
        <v>2.0833333333333329E-3</v>
      </c>
      <c r="H57" s="3">
        <f>D57-D56</f>
        <v>3</v>
      </c>
      <c r="I57" s="4">
        <f>H57/G57/1000</f>
        <v>1.4400000000000002</v>
      </c>
      <c r="K57" s="5">
        <f>A57</f>
        <v>1.3888888888888888E-2</v>
      </c>
      <c r="L57" s="2">
        <f>D57</f>
        <v>62.5</v>
      </c>
    </row>
    <row r="58" spans="1:22" x14ac:dyDescent="0.25">
      <c r="A58" s="5">
        <f>A57+3/24/60</f>
        <v>1.5972222222222221E-2</v>
      </c>
      <c r="B58" s="8">
        <v>70</v>
      </c>
      <c r="C58" s="8">
        <v>61</v>
      </c>
      <c r="D58">
        <f>AVERAGE(B58:C58)</f>
        <v>65.5</v>
      </c>
      <c r="E58">
        <f>MAX(B58:C58)-MIN(B58:C58)</f>
        <v>9</v>
      </c>
      <c r="G58" s="5">
        <f>A58-A57</f>
        <v>2.0833333333333329E-3</v>
      </c>
      <c r="H58" s="3">
        <f>D58-D57</f>
        <v>3</v>
      </c>
      <c r="I58" s="4">
        <f>H58/G58/1000</f>
        <v>1.4400000000000002</v>
      </c>
      <c r="K58" s="5">
        <f>A58</f>
        <v>1.5972222222222221E-2</v>
      </c>
      <c r="L58" s="2">
        <f>D58</f>
        <v>65.5</v>
      </c>
    </row>
    <row r="59" spans="1:22" x14ac:dyDescent="0.25">
      <c r="A59" s="5">
        <f>A58+3/24/60</f>
        <v>1.8055555555555554E-2</v>
      </c>
      <c r="B59" s="8">
        <v>64</v>
      </c>
      <c r="C59" s="8">
        <v>72</v>
      </c>
      <c r="D59">
        <f>AVERAGE(B59:C59)</f>
        <v>68</v>
      </c>
      <c r="E59">
        <f>MAX(B59:C59)-MIN(B59:C59)</f>
        <v>8</v>
      </c>
      <c r="G59" s="5">
        <f>A59-A58</f>
        <v>2.0833333333333329E-3</v>
      </c>
      <c r="H59" s="3">
        <f>D59-D58</f>
        <v>2.5</v>
      </c>
      <c r="I59" s="4">
        <f>H59/G59/1000</f>
        <v>1.2000000000000002</v>
      </c>
      <c r="K59" s="5">
        <f>A59</f>
        <v>1.8055555555555554E-2</v>
      </c>
      <c r="L59" s="2">
        <f>D59</f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D</dc:creator>
  <cp:lastModifiedBy>Tomasz D</cp:lastModifiedBy>
  <dcterms:created xsi:type="dcterms:W3CDTF">2026-09-21T16:59:08Z</dcterms:created>
  <dcterms:modified xsi:type="dcterms:W3CDTF">2026-09-21T23:18:32Z</dcterms:modified>
</cp:coreProperties>
</file>